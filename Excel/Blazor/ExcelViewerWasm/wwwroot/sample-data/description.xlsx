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Projects\grapecity\c1-excel\Blazor\Samples\ExcelViewerWasm\wwwroot\sample-data\"/>
    </mc:Choice>
  </mc:AlternateContent>
  <xr:revisionPtr revIDLastSave="0" documentId="13_ncr:1_{9B86F158-C44F-4310-B344-4A90453B7953}" xr6:coauthVersionLast="47" xr6:coauthVersionMax="47" xr10:uidLastSave="{00000000-0000-0000-0000-000000000000}"/>
  <bookViews>
    <workbookView xWindow="2750" yWindow="700" windowWidth="31390" windowHeight="17380" xr2:uid="{00000000-000D-0000-FFFF-FFFF00000000}"/>
  </bookViews>
  <sheets>
    <sheet name="About" sheetId="2" r:id="rId1"/>
    <sheet name="Budget" sheetId="3" r:id="rId2"/>
    <sheet name="Report" sheetId="4" r:id="rId3"/>
  </sheets>
  <externalReferences>
    <externalReference r:id="rId4"/>
  </externalReferences>
  <definedNames>
    <definedName name="Expenses">[1]Budget!$B$18:$M$18</definedName>
    <definedName name="Income">[1]Budget!$B$11:$M$11</definedName>
    <definedName name="NetSales">[1]Budget!$B$5:$M$5</definedName>
    <definedName name="OtherIncome">[1]Budget!$B$10:$M$10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3" l="1"/>
  <c r="L20" i="3"/>
  <c r="K20" i="3"/>
  <c r="J20" i="3"/>
  <c r="I20" i="3"/>
  <c r="H20" i="3"/>
  <c r="G20" i="3"/>
  <c r="F20" i="3"/>
  <c r="E20" i="3"/>
  <c r="D20" i="3"/>
  <c r="C20" i="3"/>
  <c r="B20" i="3"/>
  <c r="B18" i="3"/>
  <c r="M11" i="3"/>
  <c r="L11" i="3"/>
  <c r="K11" i="3"/>
  <c r="J11" i="3"/>
  <c r="I11" i="3"/>
  <c r="H11" i="3"/>
  <c r="G11" i="3"/>
  <c r="F11" i="3"/>
  <c r="E11" i="3"/>
  <c r="D11" i="3"/>
  <c r="C11" i="3"/>
  <c r="B11" i="3"/>
  <c r="M10" i="3"/>
  <c r="L10" i="3"/>
  <c r="K10" i="3"/>
  <c r="J10" i="3"/>
  <c r="I10" i="3"/>
  <c r="H10" i="3"/>
  <c r="G10" i="3"/>
  <c r="F10" i="3"/>
  <c r="E10" i="3"/>
  <c r="D10" i="3"/>
  <c r="C10" i="3"/>
  <c r="M5" i="3"/>
  <c r="M13" i="3" s="1"/>
  <c r="L5" i="3"/>
  <c r="L13" i="3" s="1"/>
  <c r="K5" i="3"/>
  <c r="K13" i="3" s="1"/>
  <c r="J5" i="3"/>
  <c r="J13" i="3" s="1"/>
  <c r="I5" i="3"/>
  <c r="I13" i="3" s="1"/>
  <c r="H5" i="3"/>
  <c r="H13" i="3" s="1"/>
  <c r="G5" i="3"/>
  <c r="G13" i="3" s="1"/>
  <c r="F5" i="3"/>
  <c r="F13" i="3" s="1"/>
  <c r="E5" i="3"/>
  <c r="E13" i="3" s="1"/>
  <c r="D5" i="3"/>
  <c r="D13" i="3" s="1"/>
  <c r="C5" i="3"/>
  <c r="C13" i="3" s="1"/>
  <c r="B5" i="3"/>
  <c r="F15" i="3" l="1"/>
  <c r="F18" i="3" s="1"/>
  <c r="L15" i="3"/>
  <c r="L18" i="3" s="1"/>
  <c r="H15" i="3"/>
  <c r="H18" i="3" s="1"/>
  <c r="C15" i="3"/>
  <c r="C18" i="3" s="1"/>
  <c r="I15" i="3"/>
  <c r="I18" i="3" s="1"/>
  <c r="D15" i="3"/>
  <c r="D18" i="3" s="1"/>
  <c r="J15" i="3"/>
  <c r="J18" i="3" s="1"/>
  <c r="E15" i="3"/>
  <c r="E18" i="3" s="1"/>
  <c r="K15" i="3"/>
  <c r="K18" i="3" s="1"/>
  <c r="G15" i="3"/>
  <c r="G18" i="3" s="1"/>
  <c r="M15" i="3"/>
  <c r="M18" i="3" s="1"/>
</calcChain>
</file>

<file path=xl/sharedStrings.xml><?xml version="1.0" encoding="utf-8"?>
<sst xmlns="http://schemas.openxmlformats.org/spreadsheetml/2006/main" count="88" uniqueCount="81">
  <si>
    <t>About Excel File Viewer sample</t>
  </si>
  <si>
    <r>
      <rPr>
        <b/>
        <sz val="12"/>
        <color theme="8" tint="-0.499984740745262"/>
        <rFont val="Arial"/>
        <family val="2"/>
        <charset val="204"/>
      </rPr>
      <t>Enjoy</t>
    </r>
    <r>
      <rPr>
        <sz val="12"/>
        <color indexed="8"/>
        <rFont val="Arial"/>
        <family val="2"/>
        <charset val="204"/>
      </rPr>
      <t xml:space="preserve"> printing.</t>
    </r>
  </si>
  <si>
    <r>
      <t xml:space="preserve">This sample uses the </t>
    </r>
    <r>
      <rPr>
        <b/>
        <sz val="11"/>
        <color theme="8" tint="-0.499984740745262"/>
        <rFont val="Arial"/>
        <family val="2"/>
        <charset val="204"/>
      </rPr>
      <t>C1Excel</t>
    </r>
    <r>
      <rPr>
        <sz val="11"/>
        <color indexed="8"/>
        <rFont val="Arial"/>
        <family val="2"/>
        <charset val="204"/>
      </rPr>
      <t xml:space="preserve"> .NET Standard library, which can view various Excel files.</t>
    </r>
  </si>
  <si>
    <r>
      <t xml:space="preserve">You can select any Excel file from the list of supported formats on your computer for printing view. You should see a converted </t>
    </r>
    <r>
      <rPr>
        <b/>
        <sz val="11"/>
        <color theme="8" tint="-0.499984740745262"/>
        <rFont val="Arial"/>
        <family val="2"/>
        <charset val="204"/>
      </rPr>
      <t>SVG</t>
    </r>
    <r>
      <rPr>
        <sz val="11"/>
        <color indexed="8"/>
        <rFont val="Arial"/>
        <family val="2"/>
        <charset val="204"/>
      </rPr>
      <t xml:space="preserve"> file instead of the Excel file. Of course, you can save as the Excel file or the converted </t>
    </r>
    <r>
      <rPr>
        <b/>
        <sz val="11"/>
        <color theme="8" tint="-0.499984740745262"/>
        <rFont val="Arial"/>
        <family val="2"/>
        <charset val="204"/>
      </rPr>
      <t>SVG</t>
    </r>
    <r>
      <rPr>
        <sz val="11"/>
        <color indexed="8"/>
        <rFont val="Arial"/>
        <family val="2"/>
        <charset val="204"/>
      </rPr>
      <t xml:space="preserve"> file.</t>
    </r>
  </si>
  <si>
    <t>2003 Budget</t>
  </si>
  <si>
    <t>in $000's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</si>
  <si>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</si>
  <si>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</si>
  <si>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</si>
  <si>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</si>
  <si>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</si>
  <si>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</si>
  <si>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</si>
  <si>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</si>
  <si>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</si>
  <si>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Consumer Electronics Division</t>
  </si>
  <si>
    <t>Industrial Electronics Division</t>
  </si>
  <si>
    <t>Net Sales of equipment</t>
  </si>
  <si>
    <t>Finance and interest income</t>
  </si>
  <si>
    <t>Investment Income</t>
  </si>
  <si>
    <t>Other Income</t>
  </si>
  <si>
    <t>Total Other Income</t>
  </si>
  <si>
    <t>Total Income</t>
  </si>
  <si>
    <t>Cost of goods sold</t>
  </si>
  <si>
    <t>Research &amp; Development</t>
  </si>
  <si>
    <t>General and administrative expenses</t>
  </si>
  <si>
    <t>Interest Expense</t>
  </si>
  <si>
    <t>Other operating expenses</t>
  </si>
  <si>
    <t>Total Expenses</t>
  </si>
  <si>
    <t>Income(Loss) Before Income Taxes</t>
  </si>
  <si>
    <t>In Stock</t>
  </si>
  <si>
    <t>Unit Price</t>
  </si>
  <si>
    <t>Quantity Per Unit</t>
  </si>
  <si>
    <t>Product Name</t>
  </si>
  <si>
    <t>32 - 8 oz bottles</t>
  </si>
  <si>
    <t>Louisiana Fiery Hot Pepper Sauce</t>
  </si>
  <si>
    <t>15 - 625 g jars</t>
  </si>
  <si>
    <t>Vegie-spread</t>
  </si>
  <si>
    <t>24 - 500 ml bottles</t>
  </si>
  <si>
    <t>Sirop d'érable</t>
  </si>
  <si>
    <t>20 - 2 kg bags</t>
  </si>
  <si>
    <t>Gula Malacca</t>
  </si>
  <si>
    <t>24 - 250 ml bottles</t>
  </si>
  <si>
    <t>Genen Shouyu</t>
  </si>
  <si>
    <t>12 - 12 oz jars</t>
  </si>
  <si>
    <t>Northwoods Cranberry Sauce</t>
  </si>
  <si>
    <t>12 - 8 oz jars</t>
  </si>
  <si>
    <t>Grandma's Boysenberry Spread</t>
  </si>
  <si>
    <t>36 boxes</t>
  </si>
  <si>
    <t>Chef Anton's Gumbo Mix</t>
  </si>
  <si>
    <t>48 - 6 oz jars</t>
  </si>
  <si>
    <t>Chef Anton's Cajun Seasoning</t>
  </si>
  <si>
    <t>12 - 550 ml bottles</t>
  </si>
  <si>
    <t>Aniseed Syrup</t>
  </si>
  <si>
    <t>Sweet and savory sauces, relishes, spreads, and seasonings</t>
  </si>
  <si>
    <t>Condiments</t>
  </si>
  <si>
    <t>500 ml</t>
  </si>
  <si>
    <t>Lakkalikööri</t>
  </si>
  <si>
    <t>24 - 0.5 l bottles</t>
  </si>
  <si>
    <t>Rhönbräu Klosterbier</t>
  </si>
  <si>
    <t>24 - 355 ml bottles</t>
  </si>
  <si>
    <t>Outback Lager</t>
  </si>
  <si>
    <t>24 - 12 oz bottles</t>
  </si>
  <si>
    <t>Laughing Lumberjack Lager</t>
  </si>
  <si>
    <t>16 - 500 g tins</t>
  </si>
  <si>
    <t>Ipoh Coffee</t>
  </si>
  <si>
    <t>750 cc per bottle</t>
  </si>
  <si>
    <t>Chartreuse verte</t>
  </si>
  <si>
    <t>12 - 75 cl bottles</t>
  </si>
  <si>
    <t>Côte de Blaye</t>
  </si>
  <si>
    <t>Steeleye Stout</t>
  </si>
  <si>
    <t>Sasquatch Ale</t>
  </si>
  <si>
    <t>12 - 355 ml cans</t>
  </si>
  <si>
    <t>Guaraná Fantástica</t>
  </si>
  <si>
    <t>Chang</t>
  </si>
  <si>
    <t>10 boxes x 20 bags</t>
  </si>
  <si>
    <t>Chai</t>
  </si>
  <si>
    <t>Soft drinks, coffees, teas, beers, and ales</t>
  </si>
  <si>
    <t>Beverages</t>
  </si>
  <si>
    <t>This report uses the OnFormat event of the detail section to alternate the Background of the section.</t>
  </si>
  <si>
    <t>Alternating 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</si>
</sst>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₽&quot;;\-#,##0.00\ &quot;₽&quot;"/>
    <numFmt numFmtId="43" formatCode="_-* #,##0.00_-;\-* #,##0.00_-;_-* &quot;-&quot;??_-;_-@_-"/>
    <numFmt numFmtId="164" formatCode="0.00_);\(0.00\)"/>
  </numFmts>
  <fonts count="19" x14ac:knownFonts="1">
    <font>
      <sz val="10"/>
      <color indexed="8"/>
      <name val="Arial"/>
    </font>
    <font>
      <sz val="18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b/>
      <sz val="12"/>
      <color theme="8" tint="-0.499984740745262"/>
      <name val="Arial"/>
      <family val="2"/>
      <charset val="204"/>
    </font>
    <font>
      <sz val="11"/>
      <color indexed="8"/>
      <name val="Arial"/>
      <family val="2"/>
      <charset val="204"/>
    </font>
    <font>
      <b/>
      <sz val="11"/>
      <color theme="8" tint="-0.499984740745262"/>
      <name val="Arial"/>
      <family val="2"/>
      <charset val="204"/>
    </font>
    <font>
      <sz val="10"/>
      <color indexed="8"/>
      <name val="Arial"/>
    </font>
    <font>
      <b/>
      <i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9"/>
      <name val="Verdana"/>
      <family val="2"/>
      <charset val="204"/>
    </font>
    <font>
      <b/>
      <sz val="9"/>
      <color indexed="60"/>
      <name val="Verdana"/>
      <family val="2"/>
      <charset val="204"/>
    </font>
    <font>
      <b/>
      <sz val="11.2"/>
      <color indexed="60"/>
      <name val="Verdana"/>
      <family val="2"/>
      <charset val="204"/>
    </font>
    <font>
      <b/>
      <sz val="15.7"/>
      <color indexed="60"/>
      <name val="Verdana"/>
      <family val="2"/>
      <charset val="204"/>
    </font>
    <font>
      <sz val="10"/>
      <color theme="0"/>
      <name val="Arial"/>
      <family val="2"/>
      <charset val="204"/>
    </font>
    <font>
      <b/>
      <sz val="18"/>
      <color indexed="26"/>
      <name val="Verdan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7"/>
      </patternFill>
    </fill>
    <fill>
      <patternFill patternType="solid">
        <fgColor theme="0"/>
      </patternFill>
    </fill>
    <fill>
      <patternFill patternType="solid">
        <fgColor indexed="22"/>
      </patternFill>
    </fill>
    <fill>
      <patternFill patternType="solid">
        <fgColor indexed="53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0"/>
      </top>
      <bottom/>
      <diagonal/>
    </border>
    <border>
      <left/>
      <right/>
      <top/>
      <bottom style="medium">
        <color indexed="60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10" fillId="0" borderId="1"/>
    <xf numFmtId="0" fontId="11" fillId="0" borderId="1"/>
    <xf numFmtId="0" fontId="12" fillId="0" borderId="1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164" fontId="6" fillId="0" borderId="0" xfId="1" applyNumberFormat="1"/>
    <xf numFmtId="0" fontId="9" fillId="0" borderId="0" xfId="0" applyFont="1" applyAlignment="1">
      <alignment horizontal="left" indent="1"/>
    </xf>
    <xf numFmtId="0" fontId="8" fillId="0" borderId="2" xfId="0" applyFont="1" applyBorder="1"/>
    <xf numFmtId="164" fontId="6" fillId="0" borderId="3" xfId="1" applyNumberFormat="1" applyBorder="1"/>
    <xf numFmtId="0" fontId="8" fillId="0" borderId="3" xfId="0" applyFont="1" applyBorder="1"/>
    <xf numFmtId="164" fontId="6" fillId="0" borderId="1" xfId="1" applyNumberFormat="1" applyBorder="1"/>
    <xf numFmtId="0" fontId="11" fillId="0" borderId="1" xfId="3"/>
    <xf numFmtId="0" fontId="11" fillId="0" borderId="1" xfId="3" applyAlignment="1">
      <alignment horizontal="left" vertical="top" wrapText="1"/>
    </xf>
    <xf numFmtId="0" fontId="11" fillId="3" borderId="1" xfId="3" applyFill="1" applyAlignment="1">
      <alignment horizontal="left" vertical="top" wrapText="1"/>
    </xf>
    <xf numFmtId="1" fontId="13" fillId="3" borderId="1" xfId="3" applyNumberFormat="1" applyFont="1" applyFill="1" applyAlignment="1">
      <alignment horizontal="right" vertical="top"/>
    </xf>
    <xf numFmtId="7" fontId="13" fillId="3" borderId="1" xfId="3" applyNumberFormat="1" applyFont="1" applyFill="1" applyAlignment="1">
      <alignment horizontal="right" vertical="top"/>
    </xf>
    <xf numFmtId="0" fontId="11" fillId="3" borderId="4" xfId="3" applyFill="1" applyBorder="1" applyAlignment="1">
      <alignment horizontal="left" vertical="top" wrapText="1"/>
    </xf>
    <xf numFmtId="0" fontId="11" fillId="4" borderId="1" xfId="3" applyFill="1" applyAlignment="1">
      <alignment horizontal="left" vertical="top" wrapText="1"/>
    </xf>
    <xf numFmtId="1" fontId="13" fillId="4" borderId="1" xfId="3" applyNumberFormat="1" applyFont="1" applyFill="1" applyAlignment="1">
      <alignment horizontal="right" vertical="top"/>
    </xf>
    <xf numFmtId="7" fontId="13" fillId="4" borderId="1" xfId="3" applyNumberFormat="1" applyFont="1" applyFill="1" applyAlignment="1">
      <alignment horizontal="right" vertical="top"/>
    </xf>
    <xf numFmtId="0" fontId="11" fillId="5" borderId="5" xfId="3" applyFill="1" applyBorder="1" applyAlignment="1">
      <alignment horizontal="left" vertical="top" wrapText="1"/>
    </xf>
    <xf numFmtId="0" fontId="14" fillId="5" borderId="5" xfId="3" applyFont="1" applyFill="1" applyBorder="1" applyAlignment="1">
      <alignment horizontal="right" vertical="center" wrapText="1"/>
    </xf>
    <xf numFmtId="0" fontId="11" fillId="6" borderId="1" xfId="3" applyFill="1" applyAlignment="1">
      <alignment horizontal="left" vertical="top" wrapText="1"/>
    </xf>
    <xf numFmtId="0" fontId="4" fillId="2" borderId="0" xfId="0" applyFont="1" applyFill="1" applyAlignment="1">
      <alignment horizontal="justify" vertical="distributed" wrapText="1"/>
    </xf>
    <xf numFmtId="0" fontId="13" fillId="4" borderId="1" xfId="3" applyFont="1" applyFill="1" applyAlignment="1">
      <alignment horizontal="left" vertical="top" wrapText="1"/>
    </xf>
    <xf numFmtId="0" fontId="13" fillId="3" borderId="1" xfId="3" applyFont="1" applyFill="1" applyAlignment="1">
      <alignment horizontal="left" vertical="top" wrapText="1"/>
    </xf>
    <xf numFmtId="0" fontId="11" fillId="0" borderId="1" xfId="3" applyAlignment="1">
      <alignment horizontal="left" vertical="top" wrapText="1"/>
    </xf>
    <xf numFmtId="0" fontId="16" fillId="0" borderId="1" xfId="3" applyFont="1" applyAlignment="1">
      <alignment horizontal="left" vertical="top" wrapText="1"/>
    </xf>
    <xf numFmtId="0" fontId="15" fillId="0" borderId="4" xfId="3" applyFont="1" applyBorder="1" applyAlignment="1">
      <alignment horizontal="left" vertical="top" wrapText="1"/>
    </xf>
    <xf numFmtId="0" fontId="14" fillId="5" borderId="5" xfId="3" applyFont="1" applyFill="1" applyBorder="1" applyAlignment="1">
      <alignment horizontal="left" vertical="center" wrapText="1"/>
    </xf>
    <xf numFmtId="0" fontId="18" fillId="6" borderId="1" xfId="3" applyFont="1" applyFill="1" applyAlignment="1">
      <alignment horizontal="left" vertical="top" wrapText="1"/>
    </xf>
    <xf numFmtId="0" fontId="17" fillId="6" borderId="1" xfId="3" applyFont="1" applyFill="1" applyAlignment="1">
      <alignment horizontal="left" vertical="top" wrapText="1" indent="6"/>
    </xf>
  </cellXfs>
  <cellStyles count="5">
    <cellStyle name="Обычный" xfId="0" builtinId="0"/>
    <cellStyle name="Обычный 2" xfId="2" xr:uid="{C87F83D1-B024-4E2D-89FE-164550DF0930}"/>
    <cellStyle name="Обычный 3" xfId="3" xr:uid="{03608F66-FAC6-41E8-A6A5-8D0FF5FA3097}"/>
    <cellStyle name="Обычный 4" xfId="4" xr:uid="{1D1C5649-6FF7-4FCB-971C-A703176C0DBD}"/>
    <cellStyle name="Финансовый" xfId="1" builtinId="3"/>
  </cellStyles>
  <dxfs count="1">
    <dxf>
      <font>
        <condense val="0"/>
        <extend val="0"/>
        <color indexed="10"/>
      </font>
    </dxf>
  </dxfs>
  <tableStyles count="0" defaultTableStyle="Table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1104900" cy="1054100"/>
    <xdr:pic>
      <xdr:nvPicPr>
        <xdr:cNvPr id="2" name="Picture 1">
          <a:extLst>
            <a:ext uri="{FF2B5EF4-FFF2-40B4-BE49-F238E27FC236}">
              <a16:creationId xmlns:a16="http://schemas.microsoft.com/office/drawing/2014/main" id="{A0F92A7A-9693-4609-9AB2-70F7B1217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1350" y="1111250"/>
          <a:ext cx="1104900" cy="1054100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37</xdr:row>
      <xdr:rowOff>0</xdr:rowOff>
    </xdr:from>
    <xdr:ext cx="1104900" cy="1054100"/>
    <xdr:pic>
      <xdr:nvPicPr>
        <xdr:cNvPr id="3" name="Picture 2">
          <a:extLst>
            <a:ext uri="{FF2B5EF4-FFF2-40B4-BE49-F238E27FC236}">
              <a16:creationId xmlns:a16="http://schemas.microsoft.com/office/drawing/2014/main" id="{11FB8D6B-F8D0-4054-AC92-1545FA512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1350" y="5873750"/>
          <a:ext cx="1104900" cy="1054100"/>
        </a:xfrm>
        <a:prstGeom prst="rect">
          <a:avLst/>
        </a:prstGeom>
        <a:noFill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grapecity\c1-excel\Tests\UnitTests\TestBooks\budget.xlsx" TargetMode="External"/><Relationship Id="rId1" Type="http://schemas.openxmlformats.org/officeDocument/2006/relationships/externalLinkPath" Target="/Projects/grapecity/c1-excel/Tests/UnitTests/TestBooks/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Budget"/>
    </sheetNames>
    <sheetDataSet>
      <sheetData sheetId="0"/>
      <sheetData sheetId="1">
        <row r="5">
          <cell r="B5">
            <v>500.5</v>
          </cell>
          <cell r="C5">
            <v>507</v>
          </cell>
          <cell r="D5">
            <v>508</v>
          </cell>
          <cell r="E5">
            <v>472</v>
          </cell>
          <cell r="F5">
            <v>478</v>
          </cell>
          <cell r="G5">
            <v>498</v>
          </cell>
          <cell r="H5">
            <v>536</v>
          </cell>
          <cell r="I5">
            <v>544</v>
          </cell>
          <cell r="J5">
            <v>565</v>
          </cell>
          <cell r="K5">
            <v>566</v>
          </cell>
          <cell r="L5">
            <v>566</v>
          </cell>
          <cell r="M5">
            <v>578</v>
          </cell>
        </row>
        <row r="10">
          <cell r="B10">
            <v>64.583333333333329</v>
          </cell>
          <cell r="C10">
            <v>64.5</v>
          </cell>
          <cell r="D10">
            <v>63.583333333333336</v>
          </cell>
          <cell r="E10">
            <v>63.5</v>
          </cell>
          <cell r="F10">
            <v>63.583333333333336</v>
          </cell>
          <cell r="G10">
            <v>65.5</v>
          </cell>
          <cell r="H10">
            <v>64.583333333333329</v>
          </cell>
          <cell r="I10">
            <v>64.5</v>
          </cell>
          <cell r="J10">
            <v>65.5</v>
          </cell>
          <cell r="K10">
            <v>64.5</v>
          </cell>
          <cell r="L10">
            <v>63.5</v>
          </cell>
          <cell r="M10">
            <v>65.583333333333329</v>
          </cell>
        </row>
        <row r="11">
          <cell r="B11">
            <v>565.08333333333337</v>
          </cell>
          <cell r="C11">
            <v>571.5</v>
          </cell>
          <cell r="D11">
            <v>571.58333333333337</v>
          </cell>
          <cell r="E11">
            <v>535.5</v>
          </cell>
          <cell r="F11">
            <v>541.58333333333337</v>
          </cell>
          <cell r="G11">
            <v>563.5</v>
          </cell>
          <cell r="H11">
            <v>600.58333333333337</v>
          </cell>
          <cell r="I11">
            <v>608.5</v>
          </cell>
          <cell r="J11">
            <v>630.5</v>
          </cell>
          <cell r="K11">
            <v>630.5</v>
          </cell>
          <cell r="L11">
            <v>629.5</v>
          </cell>
          <cell r="M11">
            <v>643.58333333333337</v>
          </cell>
        </row>
        <row r="18">
          <cell r="B18">
            <v>-521.16666666666708</v>
          </cell>
          <cell r="C18">
            <v>-542.10799999999995</v>
          </cell>
          <cell r="D18">
            <v>-546.13533333333339</v>
          </cell>
          <cell r="E18">
            <v>-511.15133333333335</v>
          </cell>
          <cell r="F18">
            <v>-512.67960000000005</v>
          </cell>
          <cell r="G18">
            <v>-525.24360000000001</v>
          </cell>
          <cell r="H18">
            <v>-560.34853333333342</v>
          </cell>
          <cell r="I18">
            <v>-567.94079999999997</v>
          </cell>
          <cell r="J18">
            <v>-588.43299999999999</v>
          </cell>
          <cell r="K18">
            <v>-590.62009333333333</v>
          </cell>
          <cell r="L18">
            <v>-588.62009333333333</v>
          </cell>
          <cell r="M18">
            <v>-599.23041333333344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6D9A-E91F-4BD8-B352-E8225336DD88}">
  <dimension ref="B5:J12"/>
  <sheetViews>
    <sheetView tabSelected="1" workbookViewId="0"/>
  </sheetViews>
  <sheetFormatPr defaultRowHeight="12.5" x14ac:dyDescent="0.25"/>
  <cols>
    <col min="1" max="1" width="4.90625" customWidth="1"/>
  </cols>
  <sheetData>
    <row r="5" spans="2:10" ht="22.5" x14ac:dyDescent="0.45">
      <c r="B5" s="1" t="s">
        <v>0</v>
      </c>
      <c r="C5" s="1"/>
    </row>
    <row r="7" spans="2:10" ht="14" x14ac:dyDescent="0.3">
      <c r="B7" s="3" t="s">
        <v>2</v>
      </c>
    </row>
    <row r="8" spans="2:10" ht="15.5" x14ac:dyDescent="0.35">
      <c r="B8" s="2"/>
    </row>
    <row r="9" spans="2:10" ht="22.5" customHeight="1" x14ac:dyDescent="0.25">
      <c r="B9" s="24" t="s">
        <v>3</v>
      </c>
      <c r="C9" s="24"/>
      <c r="D9" s="24"/>
      <c r="E9" s="24"/>
      <c r="F9" s="24"/>
      <c r="G9" s="24"/>
      <c r="H9" s="24"/>
      <c r="I9" s="24"/>
      <c r="J9" s="24"/>
    </row>
    <row r="10" spans="2:10" ht="25" customHeight="1" x14ac:dyDescent="0.25">
      <c r="B10" s="24"/>
      <c r="C10" s="24"/>
      <c r="D10" s="24"/>
      <c r="E10" s="24"/>
      <c r="F10" s="24"/>
      <c r="G10" s="24"/>
      <c r="H10" s="24"/>
      <c r="I10" s="24"/>
      <c r="J10" s="24"/>
    </row>
    <row r="12" spans="2:10" ht="15.5" x14ac:dyDescent="0.35">
      <c r="B12" s="2" t="s">
        <v>1</v>
      </c>
    </row>
  </sheetData>
  <mergeCells count="1">
    <mergeCell ref="B9:J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E0DA-9CDD-46FC-B45A-21917A8EDD45}">
  <dimension ref="A1:M20"/>
  <sheetViews>
    <sheetView workbookViewId="0"/>
  </sheetViews>
  <sheetFormatPr defaultRowHeight="12.5" x14ac:dyDescent="0.25"/>
  <cols>
    <col min="1" max="1" width="31.26953125" customWidth="1"/>
    <col min="2" max="13" width="7.81640625" customWidth="1"/>
  </cols>
  <sheetData>
    <row r="1" spans="1:13" ht="15.5" x14ac:dyDescent="0.35">
      <c r="A1" s="4" t="s">
        <v>4</v>
      </c>
    </row>
    <row r="2" spans="1:13" ht="13" x14ac:dyDescent="0.3">
      <c r="A2" s="5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/>
      <c r="L2" s="8"/>
      <c r="M2" s="8"/>
    </row>
    <row r="3" spans="1:13" x14ac:dyDescent="0.25">
      <c r="A3" t="s">
        <v>15</v>
      </c>
      <c r="B3" s="6">
        <v>415.66666666666669</v>
      </c>
      <c r="C3" s="6">
        <v>419</v>
      </c>
      <c r="D3" s="6">
        <v>423</v>
      </c>
      <c r="E3" s="6">
        <v>389</v>
      </c>
      <c r="F3" s="6">
        <v>395</v>
      </c>
      <c r="G3" s="6">
        <v>411</v>
      </c>
      <c r="H3" s="6">
        <v>445</v>
      </c>
      <c r="I3" s="6">
        <v>452</v>
      </c>
      <c r="J3" s="6">
        <v>475</v>
      </c>
      <c r="K3" s="6">
        <v>60</v>
      </c>
      <c r="L3" s="6">
        <v>477</v>
      </c>
      <c r="M3" s="6">
        <v>488</v>
      </c>
    </row>
    <row r="4" spans="1:13" x14ac:dyDescent="0.25">
      <c r="A4" t="s">
        <v>16</v>
      </c>
      <c r="B4" s="6">
        <v>50</v>
      </c>
      <c r="C4" s="6">
        <v>50</v>
      </c>
      <c r="D4" s="6">
        <v>85</v>
      </c>
      <c r="E4" s="6">
        <v>83</v>
      </c>
      <c r="F4" s="6">
        <v>83</v>
      </c>
      <c r="G4" s="6">
        <v>87</v>
      </c>
      <c r="H4" s="6">
        <v>91</v>
      </c>
      <c r="I4" s="6">
        <v>92</v>
      </c>
      <c r="J4" s="6">
        <v>50</v>
      </c>
      <c r="K4" s="6">
        <v>50</v>
      </c>
      <c r="L4" s="6">
        <v>50</v>
      </c>
      <c r="M4" s="6">
        <v>60</v>
      </c>
    </row>
    <row r="5" spans="1:13" ht="13" x14ac:dyDescent="0.3">
      <c r="A5" s="7" t="s">
        <v>17</v>
      </c>
      <c r="B5" s="6">
        <f t="shared" ref="B5:M5" si="0">SUM(B3:B4)</f>
        <v>465.66666666666669</v>
      </c>
      <c r="C5" s="6">
        <f t="shared" si="0"/>
        <v>469</v>
      </c>
      <c r="D5" s="6">
        <f t="shared" si="0"/>
        <v>508</v>
      </c>
      <c r="E5" s="6">
        <f t="shared" si="0"/>
        <v>472</v>
      </c>
      <c r="F5" s="6">
        <f t="shared" si="0"/>
        <v>478</v>
      </c>
      <c r="G5" s="6">
        <f t="shared" si="0"/>
        <v>498</v>
      </c>
      <c r="H5" s="6">
        <f t="shared" si="0"/>
        <v>536</v>
      </c>
      <c r="I5" s="6">
        <f t="shared" si="0"/>
        <v>544</v>
      </c>
      <c r="J5" s="6">
        <f t="shared" si="0"/>
        <v>525</v>
      </c>
      <c r="K5" s="6">
        <f t="shared" si="0"/>
        <v>110</v>
      </c>
      <c r="L5" s="6">
        <f t="shared" si="0"/>
        <v>527</v>
      </c>
      <c r="M5" s="6">
        <f t="shared" si="0"/>
        <v>548</v>
      </c>
    </row>
    <row r="6" spans="1:1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A7" t="s">
        <v>18</v>
      </c>
      <c r="B7" s="6">
        <v>60</v>
      </c>
      <c r="C7" s="6">
        <v>54.5</v>
      </c>
      <c r="D7" s="6">
        <v>54.5</v>
      </c>
      <c r="E7" s="6">
        <v>54.5</v>
      </c>
      <c r="F7" s="6">
        <v>54.5</v>
      </c>
      <c r="G7" s="6">
        <v>54.5</v>
      </c>
      <c r="H7" s="6">
        <v>54.5</v>
      </c>
      <c r="I7" s="6">
        <v>54.5</v>
      </c>
      <c r="J7" s="6">
        <v>54.5</v>
      </c>
      <c r="K7" s="6">
        <v>54.5</v>
      </c>
      <c r="L7" s="6">
        <v>54.5</v>
      </c>
      <c r="M7" s="6">
        <v>54.5</v>
      </c>
    </row>
    <row r="8" spans="1:13" x14ac:dyDescent="0.25">
      <c r="A8" t="s">
        <v>19</v>
      </c>
      <c r="B8" s="6">
        <v>8</v>
      </c>
      <c r="C8" s="6">
        <v>7</v>
      </c>
      <c r="D8" s="6">
        <v>7</v>
      </c>
      <c r="E8" s="6">
        <v>6</v>
      </c>
      <c r="F8" s="6">
        <v>7</v>
      </c>
      <c r="G8" s="6">
        <v>8</v>
      </c>
      <c r="H8" s="6">
        <v>8</v>
      </c>
      <c r="I8" s="6">
        <v>9</v>
      </c>
      <c r="J8" s="6">
        <v>9</v>
      </c>
      <c r="K8" s="6">
        <v>8</v>
      </c>
      <c r="L8" s="6">
        <v>8</v>
      </c>
      <c r="M8" s="6">
        <v>9</v>
      </c>
    </row>
    <row r="9" spans="1:13" x14ac:dyDescent="0.25">
      <c r="A9" t="s">
        <v>20</v>
      </c>
      <c r="B9" s="6">
        <v>50</v>
      </c>
      <c r="C9" s="6">
        <v>3</v>
      </c>
      <c r="D9" s="6">
        <v>2.0833333333333335</v>
      </c>
      <c r="E9" s="6">
        <v>3</v>
      </c>
      <c r="F9" s="6">
        <v>2.0833333333333335</v>
      </c>
      <c r="G9" s="6">
        <v>3</v>
      </c>
      <c r="H9" s="6">
        <v>2.0833333333333335</v>
      </c>
      <c r="I9" s="6">
        <v>1</v>
      </c>
      <c r="J9" s="6">
        <v>2</v>
      </c>
      <c r="K9" s="6">
        <v>2</v>
      </c>
      <c r="L9" s="6">
        <v>1</v>
      </c>
      <c r="M9" s="6">
        <v>2.0833333333333335</v>
      </c>
    </row>
    <row r="10" spans="1:13" ht="13" x14ac:dyDescent="0.3">
      <c r="A10" s="7" t="s">
        <v>21</v>
      </c>
      <c r="B10" s="6">
        <v>60</v>
      </c>
      <c r="C10" s="6">
        <f t="shared" ref="C10:M10" si="1">SUM(C7:C9)</f>
        <v>64.5</v>
      </c>
      <c r="D10" s="6">
        <f t="shared" si="1"/>
        <v>63.583333333333336</v>
      </c>
      <c r="E10" s="6">
        <f t="shared" si="1"/>
        <v>63.5</v>
      </c>
      <c r="F10" s="6">
        <f t="shared" si="1"/>
        <v>63.583333333333336</v>
      </c>
      <c r="G10" s="6">
        <f t="shared" si="1"/>
        <v>65.5</v>
      </c>
      <c r="H10" s="6">
        <f t="shared" si="1"/>
        <v>64.583333333333329</v>
      </c>
      <c r="I10" s="6">
        <f t="shared" si="1"/>
        <v>64.5</v>
      </c>
      <c r="J10" s="6">
        <f t="shared" si="1"/>
        <v>65.5</v>
      </c>
      <c r="K10" s="6">
        <f t="shared" si="1"/>
        <v>64.5</v>
      </c>
      <c r="L10" s="6">
        <f t="shared" si="1"/>
        <v>63.5</v>
      </c>
      <c r="M10" s="6">
        <f t="shared" si="1"/>
        <v>65.583333333333329</v>
      </c>
    </row>
    <row r="11" spans="1:13" ht="13" x14ac:dyDescent="0.3">
      <c r="A11" s="5" t="s">
        <v>22</v>
      </c>
      <c r="B11" s="6">
        <f t="shared" ref="B11:M11" si="2">NetSales+OtherIncome</f>
        <v>565.08333333333337</v>
      </c>
      <c r="C11" s="6">
        <f t="shared" si="2"/>
        <v>571.5</v>
      </c>
      <c r="D11" s="6">
        <f t="shared" si="2"/>
        <v>571.58333333333337</v>
      </c>
      <c r="E11" s="6">
        <f t="shared" si="2"/>
        <v>535.5</v>
      </c>
      <c r="F11" s="6">
        <f t="shared" si="2"/>
        <v>541.58333333333337</v>
      </c>
      <c r="G11" s="6">
        <f t="shared" si="2"/>
        <v>563.5</v>
      </c>
      <c r="H11" s="6">
        <f t="shared" si="2"/>
        <v>600.58333333333337</v>
      </c>
      <c r="I11" s="6">
        <f t="shared" si="2"/>
        <v>608.5</v>
      </c>
      <c r="J11" s="6">
        <f t="shared" si="2"/>
        <v>630.5</v>
      </c>
      <c r="K11" s="6">
        <f t="shared" si="2"/>
        <v>630.5</v>
      </c>
      <c r="L11" s="6">
        <f t="shared" si="2"/>
        <v>629.5</v>
      </c>
      <c r="M11" s="6">
        <f t="shared" si="2"/>
        <v>643.58333333333337</v>
      </c>
    </row>
    <row r="12" spans="1:13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t="s">
        <v>23</v>
      </c>
      <c r="B13" s="11">
        <v>-387.91666666666703</v>
      </c>
      <c r="C13" s="11">
        <f>-C5*0.8</f>
        <v>-375.20000000000005</v>
      </c>
      <c r="D13" s="11">
        <f>-D5*0.8</f>
        <v>-406.40000000000003</v>
      </c>
      <c r="E13" s="11">
        <f>-E5*0.8</f>
        <v>-377.6</v>
      </c>
      <c r="F13" s="11">
        <f t="shared" ref="F13:M13" si="3">-F5*0.78</f>
        <v>-372.84000000000003</v>
      </c>
      <c r="G13" s="11">
        <f t="shared" si="3"/>
        <v>-388.44</v>
      </c>
      <c r="H13" s="11">
        <f t="shared" si="3"/>
        <v>-418.08000000000004</v>
      </c>
      <c r="I13" s="11">
        <f t="shared" si="3"/>
        <v>-424.32</v>
      </c>
      <c r="J13" s="11">
        <f t="shared" si="3"/>
        <v>-409.5</v>
      </c>
      <c r="K13" s="11">
        <f t="shared" si="3"/>
        <v>-85.8</v>
      </c>
      <c r="L13" s="11">
        <f t="shared" si="3"/>
        <v>-411.06</v>
      </c>
      <c r="M13" s="11">
        <f t="shared" si="3"/>
        <v>-427.44</v>
      </c>
    </row>
    <row r="14" spans="1:13" x14ac:dyDescent="0.25">
      <c r="A14" t="s">
        <v>24</v>
      </c>
      <c r="B14" s="11">
        <v>-23.25</v>
      </c>
      <c r="C14" s="11">
        <v>-24</v>
      </c>
      <c r="D14" s="11">
        <v>-25</v>
      </c>
      <c r="E14" s="11">
        <v>-24</v>
      </c>
      <c r="F14" s="11">
        <v>-27</v>
      </c>
      <c r="G14" s="11">
        <v>-21</v>
      </c>
      <c r="H14" s="11">
        <v>-23.25</v>
      </c>
      <c r="I14" s="11">
        <v>-24</v>
      </c>
      <c r="J14" s="11">
        <v>-25</v>
      </c>
      <c r="K14" s="11">
        <v>-26</v>
      </c>
      <c r="L14" s="11">
        <v>-24</v>
      </c>
      <c r="M14" s="11">
        <v>-24</v>
      </c>
    </row>
    <row r="15" spans="1:13" x14ac:dyDescent="0.25">
      <c r="A15" t="s">
        <v>25</v>
      </c>
      <c r="B15" s="11">
        <v>-69.916666666666671</v>
      </c>
      <c r="C15" s="11">
        <f>C13*0.18</f>
        <v>-67.536000000000001</v>
      </c>
      <c r="D15" s="11">
        <f>D13*0.18</f>
        <v>-73.152000000000001</v>
      </c>
      <c r="E15" s="11">
        <f>E13*0.18</f>
        <v>-67.968000000000004</v>
      </c>
      <c r="F15" s="11">
        <f>F13*0.19</f>
        <v>-70.839600000000004</v>
      </c>
      <c r="G15" s="11">
        <f>G13*0.19</f>
        <v>-73.803600000000003</v>
      </c>
      <c r="H15" s="11">
        <f>H13*0.19</f>
        <v>-79.435200000000009</v>
      </c>
      <c r="I15" s="11">
        <f>I13*0.19</f>
        <v>-80.620800000000003</v>
      </c>
      <c r="J15" s="11">
        <f>J13*0.19</f>
        <v>-77.805000000000007</v>
      </c>
      <c r="K15" s="11">
        <f>K13*0.187</f>
        <v>-16.044599999999999</v>
      </c>
      <c r="L15" s="11">
        <f>L13*0.187</f>
        <v>-76.868219999999994</v>
      </c>
      <c r="M15" s="11">
        <f>M13*0.187</f>
        <v>-79.931280000000001</v>
      </c>
    </row>
    <row r="16" spans="1:13" x14ac:dyDescent="0.25">
      <c r="A16" t="s">
        <v>26</v>
      </c>
      <c r="B16" s="11">
        <v>-37.5</v>
      </c>
      <c r="C16" s="11">
        <v>-37.5</v>
      </c>
      <c r="D16" s="11">
        <v>-39</v>
      </c>
      <c r="E16" s="11">
        <v>-39</v>
      </c>
      <c r="F16" s="11">
        <v>-40</v>
      </c>
      <c r="G16" s="11">
        <v>-40</v>
      </c>
      <c r="H16" s="11">
        <v>-37</v>
      </c>
      <c r="I16" s="11">
        <v>-37</v>
      </c>
      <c r="J16" s="11">
        <v>-37</v>
      </c>
      <c r="K16" s="11">
        <v>-38</v>
      </c>
      <c r="L16" s="11">
        <v>-38</v>
      </c>
      <c r="M16" s="11">
        <v>-37.5</v>
      </c>
    </row>
    <row r="17" spans="1:13" x14ac:dyDescent="0.25">
      <c r="A17" t="s">
        <v>27</v>
      </c>
      <c r="B17" s="11">
        <v>-2.5833333333333335</v>
      </c>
      <c r="C17" s="11">
        <v>-2</v>
      </c>
      <c r="D17" s="11">
        <v>-2.5833333333333335</v>
      </c>
      <c r="E17" s="11">
        <v>-2.5833333333333335</v>
      </c>
      <c r="F17" s="11">
        <v>-2</v>
      </c>
      <c r="G17" s="11">
        <v>-2</v>
      </c>
      <c r="H17" s="11">
        <v>-2.5833333333333335</v>
      </c>
      <c r="I17" s="11">
        <v>-2</v>
      </c>
      <c r="J17" s="11">
        <v>-2</v>
      </c>
      <c r="K17" s="11">
        <v>-2.5833333333333335</v>
      </c>
      <c r="L17" s="11">
        <v>-2.5833333333333335</v>
      </c>
      <c r="M17" s="11">
        <v>-2.5833333333333335</v>
      </c>
    </row>
    <row r="18" spans="1:13" ht="13" x14ac:dyDescent="0.3">
      <c r="A18" s="5" t="s">
        <v>28</v>
      </c>
      <c r="B18" s="11">
        <f t="shared" ref="B18:M18" si="4">SUM(B13:B17)</f>
        <v>-521.16666666666708</v>
      </c>
      <c r="C18" s="11">
        <f t="shared" si="4"/>
        <v>-506.23600000000005</v>
      </c>
      <c r="D18" s="11">
        <f t="shared" si="4"/>
        <v>-546.13533333333339</v>
      </c>
      <c r="E18" s="11">
        <f t="shared" si="4"/>
        <v>-511.15133333333335</v>
      </c>
      <c r="F18" s="11">
        <f t="shared" si="4"/>
        <v>-512.67960000000005</v>
      </c>
      <c r="G18" s="11">
        <f t="shared" si="4"/>
        <v>-525.24360000000001</v>
      </c>
      <c r="H18" s="11">
        <f t="shared" si="4"/>
        <v>-560.34853333333342</v>
      </c>
      <c r="I18" s="11">
        <f t="shared" si="4"/>
        <v>-567.94079999999997</v>
      </c>
      <c r="J18" s="11">
        <f t="shared" si="4"/>
        <v>-551.30500000000006</v>
      </c>
      <c r="K18" s="11">
        <f t="shared" si="4"/>
        <v>-168.42793333333336</v>
      </c>
      <c r="L18" s="11">
        <f t="shared" si="4"/>
        <v>-552.51155333333338</v>
      </c>
      <c r="M18" s="11">
        <f t="shared" si="4"/>
        <v>-571.45461333333333</v>
      </c>
    </row>
    <row r="19" spans="1:13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3.5" thickBot="1" x14ac:dyDescent="0.35">
      <c r="A20" s="10" t="s">
        <v>29</v>
      </c>
      <c r="B20" s="9">
        <f t="shared" ref="B20:M20" si="5">Income+Expenses</f>
        <v>43.916666666666288</v>
      </c>
      <c r="C20" s="9">
        <f t="shared" si="5"/>
        <v>29.392000000000053</v>
      </c>
      <c r="D20" s="9">
        <f t="shared" si="5"/>
        <v>25.447999999999979</v>
      </c>
      <c r="E20" s="9">
        <f t="shared" si="5"/>
        <v>24.348666666666645</v>
      </c>
      <c r="F20" s="9">
        <f t="shared" si="5"/>
        <v>28.903733333333321</v>
      </c>
      <c r="G20" s="9">
        <f t="shared" si="5"/>
        <v>38.256399999999985</v>
      </c>
      <c r="H20" s="9">
        <f t="shared" si="5"/>
        <v>40.23479999999995</v>
      </c>
      <c r="I20" s="9">
        <f t="shared" si="5"/>
        <v>40.559200000000033</v>
      </c>
      <c r="J20" s="9">
        <f t="shared" si="5"/>
        <v>42.067000000000007</v>
      </c>
      <c r="K20" s="9">
        <f t="shared" si="5"/>
        <v>39.87990666666667</v>
      </c>
      <c r="L20" s="9">
        <f t="shared" si="5"/>
        <v>40.87990666666667</v>
      </c>
      <c r="M20" s="9">
        <f t="shared" si="5"/>
        <v>44.352919999999926</v>
      </c>
    </row>
  </sheetData>
  <conditionalFormatting sqref="B3:M12 A6 B19:M20">
    <cfRule type="cellIs" dxfId="0" priority="1" stopIfTrue="1" operator="lessThan">
      <formula>0</formula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009C-AD9D-4E60-ACD8-61CD4E3D82DD}">
  <dimension ref="A1:N61"/>
  <sheetViews>
    <sheetView workbookViewId="0">
      <selection activeCell="B2" sqref="B2:M2"/>
    </sheetView>
  </sheetViews>
  <sheetFormatPr defaultColWidth="9.1796875" defaultRowHeight="12.5" x14ac:dyDescent="0.25"/>
  <cols>
    <col min="1" max="1" width="1.7265625" style="12" customWidth="1"/>
    <col min="2" max="2" width="2.453125" style="12" customWidth="1"/>
    <col min="3" max="3" width="13.36328125" style="12" customWidth="1"/>
    <col min="4" max="4" width="1.7265625" style="12" customWidth="1"/>
    <col min="5" max="5" width="17.1796875" style="12" customWidth="1"/>
    <col min="6" max="6" width="1.7265625" style="12" customWidth="1"/>
    <col min="7" max="7" width="6.90625" style="12" customWidth="1"/>
    <col min="8" max="8" width="1.7265625" style="12" customWidth="1"/>
    <col min="9" max="9" width="8.6328125" style="12" customWidth="1"/>
    <col min="10" max="10" width="1.7265625" style="12" customWidth="1"/>
    <col min="11" max="11" width="14.1796875" style="12" customWidth="1"/>
    <col min="12" max="12" width="1.7265625" style="12" customWidth="1"/>
    <col min="13" max="13" width="14.1796875" style="12" customWidth="1"/>
    <col min="14" max="14" width="1.7265625" style="12" customWidth="1"/>
  </cols>
  <sheetData>
    <row r="1" spans="1:14" ht="4.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26.25" customHeight="1" x14ac:dyDescent="0.25">
      <c r="A2" s="23"/>
      <c r="B2" s="31" t="s">
        <v>80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23"/>
    </row>
    <row r="3" spans="1:14" ht="4.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25.5" customHeight="1" x14ac:dyDescent="0.25">
      <c r="A4" s="23"/>
      <c r="B4" s="32" t="s">
        <v>79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23"/>
    </row>
    <row r="5" spans="1:14" ht="11.2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ht="11.25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4" ht="4.5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36" customHeight="1" thickBot="1" x14ac:dyDescent="0.3">
      <c r="A8" s="13"/>
      <c r="B8" s="27"/>
      <c r="C8" s="27"/>
      <c r="D8" s="13"/>
      <c r="E8" s="28" t="s">
        <v>78</v>
      </c>
      <c r="F8" s="28"/>
      <c r="G8" s="28"/>
      <c r="H8" s="28"/>
      <c r="I8" s="28"/>
      <c r="J8" s="28"/>
      <c r="K8" s="28"/>
      <c r="L8" s="28"/>
      <c r="M8" s="28"/>
      <c r="N8" s="13"/>
    </row>
    <row r="9" spans="1:14" ht="47.25" customHeight="1" x14ac:dyDescent="0.25">
      <c r="A9" s="13"/>
      <c r="B9" s="27"/>
      <c r="C9" s="27"/>
      <c r="D9" s="13"/>
      <c r="E9" s="29" t="s">
        <v>77</v>
      </c>
      <c r="F9" s="29"/>
      <c r="G9" s="29"/>
      <c r="H9" s="29"/>
      <c r="I9" s="29"/>
      <c r="J9" s="29"/>
      <c r="K9" s="29"/>
      <c r="L9" s="29"/>
      <c r="M9" s="29"/>
      <c r="N9" s="13"/>
    </row>
    <row r="10" spans="1:14" ht="3.7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21" customHeight="1" thickBot="1" x14ac:dyDescent="0.3">
      <c r="A11" s="21"/>
      <c r="B11" s="21"/>
      <c r="C11" s="30" t="s">
        <v>33</v>
      </c>
      <c r="D11" s="30"/>
      <c r="E11" s="30"/>
      <c r="F11" s="21"/>
      <c r="G11" s="30" t="s">
        <v>32</v>
      </c>
      <c r="H11" s="30"/>
      <c r="I11" s="30"/>
      <c r="J11" s="21"/>
      <c r="K11" s="22" t="s">
        <v>31</v>
      </c>
      <c r="L11" s="21"/>
      <c r="M11" s="22" t="s">
        <v>30</v>
      </c>
      <c r="N11" s="21"/>
    </row>
    <row r="12" spans="1:14" ht="4.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ht="14" customHeight="1" x14ac:dyDescent="0.25">
      <c r="A13" s="18"/>
      <c r="B13" s="18"/>
      <c r="C13" s="25" t="s">
        <v>76</v>
      </c>
      <c r="D13" s="25"/>
      <c r="E13" s="25"/>
      <c r="F13" s="18"/>
      <c r="G13" s="25" t="s">
        <v>75</v>
      </c>
      <c r="H13" s="25"/>
      <c r="I13" s="25"/>
      <c r="J13" s="18"/>
      <c r="K13" s="20">
        <v>18</v>
      </c>
      <c r="L13" s="18"/>
      <c r="M13" s="19">
        <v>39</v>
      </c>
      <c r="N13" s="18"/>
    </row>
    <row r="14" spans="1:14" ht="4.5" customHeigh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14" customHeight="1" x14ac:dyDescent="0.25">
      <c r="A15" s="14"/>
      <c r="B15" s="14"/>
      <c r="C15" s="26" t="s">
        <v>74</v>
      </c>
      <c r="D15" s="26"/>
      <c r="E15" s="26"/>
      <c r="F15" s="14"/>
      <c r="G15" s="26" t="s">
        <v>62</v>
      </c>
      <c r="H15" s="26"/>
      <c r="I15" s="26"/>
      <c r="J15" s="14"/>
      <c r="K15" s="16">
        <v>19</v>
      </c>
      <c r="L15" s="14"/>
      <c r="M15" s="15">
        <v>17</v>
      </c>
      <c r="N15" s="14"/>
    </row>
    <row r="16" spans="1:14" ht="4.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 ht="14" customHeight="1" x14ac:dyDescent="0.25">
      <c r="A17" s="18"/>
      <c r="B17" s="18"/>
      <c r="C17" s="25" t="s">
        <v>73</v>
      </c>
      <c r="D17" s="25"/>
      <c r="E17" s="25"/>
      <c r="F17" s="18"/>
      <c r="G17" s="25" t="s">
        <v>72</v>
      </c>
      <c r="H17" s="25"/>
      <c r="I17" s="25"/>
      <c r="J17" s="18"/>
      <c r="K17" s="20">
        <v>4.5</v>
      </c>
      <c r="L17" s="18"/>
      <c r="M17" s="19">
        <v>20</v>
      </c>
      <c r="N17" s="18"/>
    </row>
    <row r="18" spans="1:14" ht="4.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4" customHeight="1" x14ac:dyDescent="0.25">
      <c r="A19" s="14"/>
      <c r="B19" s="14"/>
      <c r="C19" s="26" t="s">
        <v>71</v>
      </c>
      <c r="D19" s="26"/>
      <c r="E19" s="26"/>
      <c r="F19" s="14"/>
      <c r="G19" s="26" t="s">
        <v>62</v>
      </c>
      <c r="H19" s="26"/>
      <c r="I19" s="26"/>
      <c r="J19" s="14"/>
      <c r="K19" s="16">
        <v>14</v>
      </c>
      <c r="L19" s="14"/>
      <c r="M19" s="15">
        <v>111</v>
      </c>
      <c r="N19" s="14"/>
    </row>
    <row r="20" spans="1:14" ht="4.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ht="14" customHeight="1" x14ac:dyDescent="0.25">
      <c r="A21" s="18"/>
      <c r="B21" s="18"/>
      <c r="C21" s="25" t="s">
        <v>70</v>
      </c>
      <c r="D21" s="25"/>
      <c r="E21" s="25"/>
      <c r="F21" s="18"/>
      <c r="G21" s="25" t="s">
        <v>62</v>
      </c>
      <c r="H21" s="25"/>
      <c r="I21" s="25"/>
      <c r="J21" s="18"/>
      <c r="K21" s="20">
        <v>18</v>
      </c>
      <c r="L21" s="18"/>
      <c r="M21" s="19">
        <v>20</v>
      </c>
      <c r="N21" s="18"/>
    </row>
    <row r="22" spans="1:14" ht="4.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4" customHeight="1" x14ac:dyDescent="0.25">
      <c r="A23" s="14"/>
      <c r="B23" s="14"/>
      <c r="C23" s="26" t="s">
        <v>69</v>
      </c>
      <c r="D23" s="26"/>
      <c r="E23" s="26"/>
      <c r="F23" s="14"/>
      <c r="G23" s="26" t="s">
        <v>68</v>
      </c>
      <c r="H23" s="26"/>
      <c r="I23" s="26"/>
      <c r="J23" s="14"/>
      <c r="K23" s="16">
        <v>263.5</v>
      </c>
      <c r="L23" s="14"/>
      <c r="M23" s="15">
        <v>17</v>
      </c>
      <c r="N23" s="14"/>
    </row>
    <row r="24" spans="1:14" ht="4.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 ht="14" customHeight="1" x14ac:dyDescent="0.25">
      <c r="A25" s="18"/>
      <c r="B25" s="18"/>
      <c r="C25" s="25" t="s">
        <v>67</v>
      </c>
      <c r="D25" s="25"/>
      <c r="E25" s="25"/>
      <c r="F25" s="18"/>
      <c r="G25" s="25" t="s">
        <v>66</v>
      </c>
      <c r="H25" s="25"/>
      <c r="I25" s="25"/>
      <c r="J25" s="18"/>
      <c r="K25" s="20">
        <v>18</v>
      </c>
      <c r="L25" s="18"/>
      <c r="M25" s="19">
        <v>69</v>
      </c>
      <c r="N25" s="18"/>
    </row>
    <row r="26" spans="1:14" ht="4.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4" customHeight="1" x14ac:dyDescent="0.25">
      <c r="A27" s="14"/>
      <c r="B27" s="14"/>
      <c r="C27" s="26" t="s">
        <v>65</v>
      </c>
      <c r="D27" s="26"/>
      <c r="E27" s="26"/>
      <c r="F27" s="14"/>
      <c r="G27" s="26" t="s">
        <v>64</v>
      </c>
      <c r="H27" s="26"/>
      <c r="I27" s="26"/>
      <c r="J27" s="14"/>
      <c r="K27" s="16">
        <v>46</v>
      </c>
      <c r="L27" s="14"/>
      <c r="M27" s="15">
        <v>17</v>
      </c>
      <c r="N27" s="14"/>
    </row>
    <row r="28" spans="1:14" ht="4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ht="14" customHeight="1" x14ac:dyDescent="0.25">
      <c r="A29" s="18"/>
      <c r="B29" s="18"/>
      <c r="C29" s="25" t="s">
        <v>63</v>
      </c>
      <c r="D29" s="25"/>
      <c r="E29" s="25"/>
      <c r="F29" s="18"/>
      <c r="G29" s="25" t="s">
        <v>62</v>
      </c>
      <c r="H29" s="25"/>
      <c r="I29" s="25"/>
      <c r="J29" s="18"/>
      <c r="K29" s="20">
        <v>14</v>
      </c>
      <c r="L29" s="18"/>
      <c r="M29" s="19">
        <v>52</v>
      </c>
      <c r="N29" s="18"/>
    </row>
    <row r="30" spans="1:14" ht="4.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4" customHeight="1" x14ac:dyDescent="0.25">
      <c r="A31" s="14"/>
      <c r="B31" s="14"/>
      <c r="C31" s="26" t="s">
        <v>61</v>
      </c>
      <c r="D31" s="26"/>
      <c r="E31" s="26"/>
      <c r="F31" s="14"/>
      <c r="G31" s="26" t="s">
        <v>60</v>
      </c>
      <c r="H31" s="26"/>
      <c r="I31" s="26"/>
      <c r="J31" s="14"/>
      <c r="K31" s="16">
        <v>15</v>
      </c>
      <c r="L31" s="14"/>
      <c r="M31" s="15">
        <v>15</v>
      </c>
      <c r="N31" s="14"/>
    </row>
    <row r="32" spans="1:14" ht="4.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" customHeight="1" x14ac:dyDescent="0.25">
      <c r="A33" s="18"/>
      <c r="B33" s="18"/>
      <c r="C33" s="25" t="s">
        <v>59</v>
      </c>
      <c r="D33" s="25"/>
      <c r="E33" s="25"/>
      <c r="F33" s="18"/>
      <c r="G33" s="25" t="s">
        <v>58</v>
      </c>
      <c r="H33" s="25"/>
      <c r="I33" s="25"/>
      <c r="J33" s="18"/>
      <c r="K33" s="20">
        <v>7.75</v>
      </c>
      <c r="L33" s="18"/>
      <c r="M33" s="19">
        <v>125</v>
      </c>
      <c r="N33" s="18"/>
    </row>
    <row r="34" spans="1:14" ht="4.5" customHeight="1" thickBo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4" customHeight="1" x14ac:dyDescent="0.25">
      <c r="A35" s="17"/>
      <c r="B35" s="14"/>
      <c r="C35" s="26" t="s">
        <v>57</v>
      </c>
      <c r="D35" s="26"/>
      <c r="E35" s="26"/>
      <c r="F35" s="14"/>
      <c r="G35" s="26" t="s">
        <v>56</v>
      </c>
      <c r="H35" s="26"/>
      <c r="I35" s="26"/>
      <c r="J35" s="14"/>
      <c r="K35" s="16">
        <v>18</v>
      </c>
      <c r="L35" s="14"/>
      <c r="M35" s="15">
        <v>57</v>
      </c>
      <c r="N35" s="14"/>
    </row>
    <row r="36" spans="1:14" ht="12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spans="1:14" ht="4.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1:14" ht="36" customHeight="1" thickBot="1" x14ac:dyDescent="0.3">
      <c r="A38" s="13"/>
      <c r="B38" s="27"/>
      <c r="C38" s="27"/>
      <c r="D38" s="13"/>
      <c r="E38" s="28" t="s">
        <v>55</v>
      </c>
      <c r="F38" s="28"/>
      <c r="G38" s="28"/>
      <c r="H38" s="28"/>
      <c r="I38" s="28"/>
      <c r="J38" s="28"/>
      <c r="K38" s="28"/>
      <c r="L38" s="28"/>
      <c r="M38" s="28"/>
      <c r="N38" s="13"/>
    </row>
    <row r="39" spans="1:14" ht="47.25" customHeight="1" x14ac:dyDescent="0.25">
      <c r="A39" s="13"/>
      <c r="B39" s="27"/>
      <c r="C39" s="27"/>
      <c r="D39" s="13"/>
      <c r="E39" s="29" t="s">
        <v>54</v>
      </c>
      <c r="F39" s="29"/>
      <c r="G39" s="29"/>
      <c r="H39" s="29"/>
      <c r="I39" s="29"/>
      <c r="J39" s="29"/>
      <c r="K39" s="29"/>
      <c r="L39" s="29"/>
      <c r="M39" s="29"/>
      <c r="N39" s="13"/>
    </row>
    <row r="40" spans="1:14" ht="3.7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1:14" ht="21" customHeight="1" thickBot="1" x14ac:dyDescent="0.3">
      <c r="A41" s="21"/>
      <c r="B41" s="21"/>
      <c r="C41" s="30" t="s">
        <v>33</v>
      </c>
      <c r="D41" s="30"/>
      <c r="E41" s="30"/>
      <c r="F41" s="21"/>
      <c r="G41" s="30" t="s">
        <v>32</v>
      </c>
      <c r="H41" s="30"/>
      <c r="I41" s="30"/>
      <c r="J41" s="21"/>
      <c r="K41" s="22" t="s">
        <v>31</v>
      </c>
      <c r="L41" s="21"/>
      <c r="M41" s="22" t="s">
        <v>30</v>
      </c>
      <c r="N41" s="21"/>
    </row>
    <row r="42" spans="1:14" ht="4.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" customHeight="1" x14ac:dyDescent="0.25">
      <c r="A43" s="18"/>
      <c r="B43" s="18"/>
      <c r="C43" s="25" t="s">
        <v>53</v>
      </c>
      <c r="D43" s="25"/>
      <c r="E43" s="25"/>
      <c r="F43" s="18"/>
      <c r="G43" s="25" t="s">
        <v>52</v>
      </c>
      <c r="H43" s="25"/>
      <c r="I43" s="25"/>
      <c r="J43" s="18"/>
      <c r="K43" s="20">
        <v>10</v>
      </c>
      <c r="L43" s="18"/>
      <c r="M43" s="19">
        <v>13</v>
      </c>
      <c r="N43" s="18"/>
    </row>
    <row r="44" spans="1:14" ht="4.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4" customHeight="1" x14ac:dyDescent="0.25">
      <c r="A45" s="14"/>
      <c r="B45" s="14"/>
      <c r="C45" s="26" t="s">
        <v>51</v>
      </c>
      <c r="D45" s="26"/>
      <c r="E45" s="26"/>
      <c r="F45" s="14"/>
      <c r="G45" s="26" t="s">
        <v>50</v>
      </c>
      <c r="H45" s="26"/>
      <c r="I45" s="26"/>
      <c r="J45" s="14"/>
      <c r="K45" s="16">
        <v>22</v>
      </c>
      <c r="L45" s="14"/>
      <c r="M45" s="15">
        <v>53</v>
      </c>
      <c r="N45" s="14"/>
    </row>
    <row r="46" spans="1:14" ht="4.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" customHeight="1" x14ac:dyDescent="0.25">
      <c r="A47" s="18"/>
      <c r="B47" s="18"/>
      <c r="C47" s="25" t="s">
        <v>49</v>
      </c>
      <c r="D47" s="25"/>
      <c r="E47" s="25"/>
      <c r="F47" s="18"/>
      <c r="G47" s="25" t="s">
        <v>48</v>
      </c>
      <c r="H47" s="25"/>
      <c r="I47" s="25"/>
      <c r="J47" s="18"/>
      <c r="K47" s="20">
        <v>21.35</v>
      </c>
      <c r="L47" s="18"/>
      <c r="M47" s="19">
        <v>0</v>
      </c>
      <c r="N47" s="18"/>
    </row>
    <row r="48" spans="1:14" ht="4.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4" customHeight="1" x14ac:dyDescent="0.25">
      <c r="A49" s="14"/>
      <c r="B49" s="14"/>
      <c r="C49" s="26" t="s">
        <v>47</v>
      </c>
      <c r="D49" s="26"/>
      <c r="E49" s="26"/>
      <c r="F49" s="14"/>
      <c r="G49" s="26" t="s">
        <v>46</v>
      </c>
      <c r="H49" s="26"/>
      <c r="I49" s="26"/>
      <c r="J49" s="14"/>
      <c r="K49" s="16">
        <v>25</v>
      </c>
      <c r="L49" s="14"/>
      <c r="M49" s="15">
        <v>120</v>
      </c>
      <c r="N49" s="14"/>
    </row>
    <row r="50" spans="1:14" ht="4.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" customHeight="1" x14ac:dyDescent="0.25">
      <c r="A51" s="18"/>
      <c r="B51" s="18"/>
      <c r="C51" s="25" t="s">
        <v>45</v>
      </c>
      <c r="D51" s="25"/>
      <c r="E51" s="25"/>
      <c r="F51" s="18"/>
      <c r="G51" s="25" t="s">
        <v>44</v>
      </c>
      <c r="H51" s="25"/>
      <c r="I51" s="25"/>
      <c r="J51" s="18"/>
      <c r="K51" s="20">
        <v>40</v>
      </c>
      <c r="L51" s="18"/>
      <c r="M51" s="19">
        <v>6</v>
      </c>
      <c r="N51" s="18"/>
    </row>
    <row r="52" spans="1:14" ht="4.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4" customHeight="1" x14ac:dyDescent="0.25">
      <c r="A53" s="14"/>
      <c r="B53" s="14"/>
      <c r="C53" s="26" t="s">
        <v>43</v>
      </c>
      <c r="D53" s="26"/>
      <c r="E53" s="26"/>
      <c r="F53" s="14"/>
      <c r="G53" s="26" t="s">
        <v>42</v>
      </c>
      <c r="H53" s="26"/>
      <c r="I53" s="26"/>
      <c r="J53" s="14"/>
      <c r="K53" s="16">
        <v>15.5</v>
      </c>
      <c r="L53" s="14"/>
      <c r="M53" s="15">
        <v>39</v>
      </c>
      <c r="N53" s="14"/>
    </row>
    <row r="54" spans="1:14" ht="4.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" customHeight="1" x14ac:dyDescent="0.25">
      <c r="A55" s="18"/>
      <c r="B55" s="18"/>
      <c r="C55" s="25" t="s">
        <v>41</v>
      </c>
      <c r="D55" s="25"/>
      <c r="E55" s="25"/>
      <c r="F55" s="18"/>
      <c r="G55" s="25" t="s">
        <v>40</v>
      </c>
      <c r="H55" s="25"/>
      <c r="I55" s="25"/>
      <c r="J55" s="18"/>
      <c r="K55" s="20">
        <v>19.45</v>
      </c>
      <c r="L55" s="18"/>
      <c r="M55" s="19">
        <v>27</v>
      </c>
      <c r="N55" s="18"/>
    </row>
    <row r="56" spans="1:14" ht="4.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4" customHeight="1" x14ac:dyDescent="0.25">
      <c r="A57" s="14"/>
      <c r="B57" s="14"/>
      <c r="C57" s="26" t="s">
        <v>39</v>
      </c>
      <c r="D57" s="26"/>
      <c r="E57" s="26"/>
      <c r="F57" s="14"/>
      <c r="G57" s="26" t="s">
        <v>38</v>
      </c>
      <c r="H57" s="26"/>
      <c r="I57" s="26"/>
      <c r="J57" s="14"/>
      <c r="K57" s="16">
        <v>28.5</v>
      </c>
      <c r="L57" s="14"/>
      <c r="M57" s="15">
        <v>113</v>
      </c>
      <c r="N57" s="14"/>
    </row>
    <row r="58" spans="1:14" ht="4.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" customHeight="1" x14ac:dyDescent="0.25">
      <c r="A59" s="18"/>
      <c r="B59" s="18"/>
      <c r="C59" s="25" t="s">
        <v>37</v>
      </c>
      <c r="D59" s="25"/>
      <c r="E59" s="25"/>
      <c r="F59" s="18"/>
      <c r="G59" s="25" t="s">
        <v>36</v>
      </c>
      <c r="H59" s="25"/>
      <c r="I59" s="25"/>
      <c r="J59" s="18"/>
      <c r="K59" s="20">
        <v>43.9</v>
      </c>
      <c r="L59" s="18"/>
      <c r="M59" s="19">
        <v>24</v>
      </c>
      <c r="N59" s="18"/>
    </row>
    <row r="60" spans="1:14" ht="4.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4" ht="14" customHeight="1" x14ac:dyDescent="0.25">
      <c r="A61" s="14"/>
      <c r="B61" s="14"/>
      <c r="C61" s="26" t="s">
        <v>35</v>
      </c>
      <c r="D61" s="26"/>
      <c r="E61" s="26"/>
      <c r="F61" s="14"/>
      <c r="G61" s="26" t="s">
        <v>34</v>
      </c>
      <c r="H61" s="26"/>
      <c r="I61" s="26"/>
      <c r="J61" s="14"/>
      <c r="K61" s="16">
        <v>21.05</v>
      </c>
      <c r="L61" s="14"/>
      <c r="M61" s="15">
        <v>76</v>
      </c>
      <c r="N61" s="14"/>
    </row>
  </sheetData>
  <mergeCells count="58">
    <mergeCell ref="C21:E21"/>
    <mergeCell ref="G21:I21"/>
    <mergeCell ref="C23:E23"/>
    <mergeCell ref="G23:I23"/>
    <mergeCell ref="B2:M2"/>
    <mergeCell ref="B4:M4"/>
    <mergeCell ref="A6:N6"/>
    <mergeCell ref="B8:C9"/>
    <mergeCell ref="E8:M8"/>
    <mergeCell ref="E9:M9"/>
    <mergeCell ref="C11:E11"/>
    <mergeCell ref="G11:I11"/>
    <mergeCell ref="C13:E13"/>
    <mergeCell ref="G13:I13"/>
    <mergeCell ref="C15:E15"/>
    <mergeCell ref="G15:I15"/>
    <mergeCell ref="C17:E17"/>
    <mergeCell ref="G17:I17"/>
    <mergeCell ref="C19:E19"/>
    <mergeCell ref="G19:I19"/>
    <mergeCell ref="C41:E41"/>
    <mergeCell ref="G41:I41"/>
    <mergeCell ref="C43:E43"/>
    <mergeCell ref="G43:I43"/>
    <mergeCell ref="C25:E25"/>
    <mergeCell ref="G25:I25"/>
    <mergeCell ref="C27:E27"/>
    <mergeCell ref="G27:I27"/>
    <mergeCell ref="C29:E29"/>
    <mergeCell ref="G29:I29"/>
    <mergeCell ref="C31:E31"/>
    <mergeCell ref="G31:I31"/>
    <mergeCell ref="C33:E33"/>
    <mergeCell ref="G33:I33"/>
    <mergeCell ref="C35:E35"/>
    <mergeCell ref="G35:I35"/>
    <mergeCell ref="A36:N36"/>
    <mergeCell ref="B38:C39"/>
    <mergeCell ref="E38:M38"/>
    <mergeCell ref="E39:M39"/>
    <mergeCell ref="C61:E61"/>
    <mergeCell ref="G61:I61"/>
    <mergeCell ref="C45:E45"/>
    <mergeCell ref="G45:I45"/>
    <mergeCell ref="C47:E47"/>
    <mergeCell ref="G47:I47"/>
    <mergeCell ref="C49:E49"/>
    <mergeCell ref="G49:I49"/>
    <mergeCell ref="C51:E51"/>
    <mergeCell ref="G51:I51"/>
    <mergeCell ref="C53:E53"/>
    <mergeCell ref="G53:I53"/>
    <mergeCell ref="C55:E55"/>
    <mergeCell ref="G55:I55"/>
    <mergeCell ref="C57:E57"/>
    <mergeCell ref="G57:I57"/>
    <mergeCell ref="C59:E59"/>
    <mergeCell ref="G59:I59"/>
  </mergeCells>
  <pageMargins left="0.65" right="0.65" top="0.65" bottom="0.65" header="0.32500000000000001" footer="0.32500000000000001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About</vt:lpstr>
      <vt:lpstr>Budget</vt:lpstr>
      <vt:lpstr>Report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Golikov</dc:creator>
  <cp:lastModifiedBy>Oleg Golikov</cp:lastModifiedBy>
  <cp:lastPrinted>2024-11-02T13:44:06Z</cp:lastPrinted>
  <dcterms:created xsi:type="dcterms:W3CDTF">2019-05-27T11:43:03Z</dcterms:created>
  <dcterms:modified xsi:type="dcterms:W3CDTF">2024-11-02T20:37:31Z</dcterms:modified>
</cp:coreProperties>
</file>